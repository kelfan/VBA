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E:\workspace\utasPrivate\"/>
    </mc:Choice>
  </mc:AlternateContent>
  <bookViews>
    <workbookView xWindow="13695" yWindow="465" windowWidth="13695" windowHeight="17535" firstSheet="6" activeTab="8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loops" sheetId="5" r:id="rId5"/>
    <sheet name="Next" sheetId="6" r:id="rId6"/>
    <sheet name="foreach" sheetId="7" r:id="rId7"/>
    <sheet name="Sheet7" sheetId="8" r:id="rId8"/>
    <sheet name="pivotTable" sheetId="9" r:id="rId9"/>
  </sheets>
  <functionGroups builtInGroupCount="19"/>
  <definedNames>
    <definedName name="Data">OFFSET(pivotTable!$A$1,0,0,COUNTA(pivotTable!$A:$A),COUNTA(pivotTable!$1:$1))</definedName>
  </definedNames>
  <calcPr calcId="171027" concurrentCalc="0"/>
  <pivotCaches>
    <pivotCache cacheId="103" r:id="rId10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8" l="1"/>
  <c r="D3" i="8"/>
  <c r="D4" i="8"/>
  <c r="D5" i="8"/>
  <c r="D6" i="8"/>
  <c r="D1" i="8"/>
  <c r="F3" i="4"/>
  <c r="F4" i="4"/>
  <c r="F5" i="4"/>
  <c r="F6" i="4"/>
  <c r="F7" i="4"/>
  <c r="E4" i="4"/>
  <c r="E5" i="4"/>
  <c r="E6" i="4"/>
  <c r="E7" i="4"/>
  <c r="E3" i="4"/>
  <c r="D4" i="4"/>
  <c r="D5" i="4"/>
  <c r="D6" i="4"/>
  <c r="D7" i="4"/>
  <c r="D3" i="4"/>
  <c r="C4" i="4"/>
  <c r="C5" i="4"/>
  <c r="C6" i="4"/>
  <c r="C7" i="4"/>
  <c r="C3" i="4"/>
  <c r="G4" i="3"/>
  <c r="G5" i="3"/>
  <c r="G6" i="3"/>
  <c r="G7" i="3"/>
  <c r="G3" i="3"/>
  <c r="F4" i="3"/>
  <c r="F5" i="3"/>
  <c r="F6" i="3"/>
  <c r="F7" i="3"/>
  <c r="F3" i="3"/>
  <c r="E4" i="3"/>
  <c r="E5" i="3"/>
  <c r="E6" i="3"/>
  <c r="E7" i="3"/>
  <c r="E3" i="3"/>
  <c r="D4" i="3"/>
  <c r="D5" i="3"/>
  <c r="D6" i="3"/>
  <c r="D7" i="3"/>
  <c r="D3" i="3"/>
  <c r="C4" i="3"/>
  <c r="C5" i="3"/>
  <c r="C6" i="3"/>
  <c r="C7" i="3"/>
  <c r="C3" i="3"/>
  <c r="B1" i="2"/>
  <c r="A2" i="1"/>
  <c r="A1" i="1"/>
</calcChain>
</file>

<file path=xl/sharedStrings.xml><?xml version="1.0" encoding="utf-8"?>
<sst xmlns="http://schemas.openxmlformats.org/spreadsheetml/2006/main" count="151" uniqueCount="128">
  <si>
    <t>Date</t>
  </si>
  <si>
    <t>Date</t>
    <phoneticPr fontId="1" type="noConversion"/>
  </si>
  <si>
    <t>amount</t>
  </si>
  <si>
    <t>amount</t>
    <phoneticPr fontId="1" type="noConversion"/>
  </si>
  <si>
    <t xml:space="preserve">has kids </t>
    <phoneticPr fontId="2" type="noConversion"/>
  </si>
  <si>
    <t>yes</t>
    <phoneticPr fontId="2" type="noConversion"/>
  </si>
  <si>
    <t>no</t>
    <phoneticPr fontId="2" type="noConversion"/>
  </si>
  <si>
    <t>salary</t>
    <phoneticPr fontId="2" type="noConversion"/>
  </si>
  <si>
    <t>getTaxRate()</t>
    <phoneticPr fontId="2" type="noConversion"/>
  </si>
  <si>
    <t>getTaxRateElse</t>
    <phoneticPr fontId="2" type="noConversion"/>
  </si>
  <si>
    <t>getTaxRateElseAND</t>
    <phoneticPr fontId="2" type="noConversion"/>
  </si>
  <si>
    <t>getTaxRateElseIf</t>
  </si>
  <si>
    <t>getTaxRateNestedIf</t>
  </si>
  <si>
    <t>getTaxRateSelectCase</t>
  </si>
  <si>
    <t>getTaxRateSelectCaseTo</t>
  </si>
  <si>
    <t>getTaxRateSelectCaseNested</t>
  </si>
  <si>
    <t>$A$8</t>
  </si>
  <si>
    <t>$B$8</t>
  </si>
  <si>
    <t>$C$8</t>
  </si>
  <si>
    <t>$A$9</t>
  </si>
  <si>
    <t>$B$9</t>
  </si>
  <si>
    <t>$C$9</t>
  </si>
  <si>
    <t>$A$10</t>
  </si>
  <si>
    <t>$B$10</t>
  </si>
  <si>
    <t>$C$10</t>
  </si>
  <si>
    <t>$A$11</t>
  </si>
  <si>
    <t>$B$11</t>
  </si>
  <si>
    <t>$C$11</t>
  </si>
  <si>
    <t>$A$12</t>
  </si>
  <si>
    <t>$B$12</t>
  </si>
  <si>
    <t>$C$12</t>
  </si>
  <si>
    <t>Bob</t>
  </si>
  <si>
    <t>Mary</t>
  </si>
  <si>
    <t>George</t>
  </si>
  <si>
    <t>十一月</t>
  </si>
  <si>
    <t>一月</t>
  </si>
  <si>
    <t>一月</t>
    <phoneticPr fontId="2" type="noConversion"/>
  </si>
  <si>
    <t>二月</t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</si>
  <si>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</si>
  <si>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</si>
  <si>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</si>
  <si>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</si>
  <si>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</si>
  <si>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</si>
  <si>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</si>
  <si>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</si>
  <si>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十二月</t>
  </si>
  <si>
    <t>CAD</t>
  </si>
  <si>
    <t>CAD</t>
    <phoneticPr fontId="2" type="noConversion"/>
  </si>
  <si>
    <t>EUR</t>
  </si>
  <si>
    <t>EUR</t>
    <phoneticPr fontId="2" type="noConversion"/>
  </si>
  <si>
    <t>JPY</t>
  </si>
  <si>
    <t>JPY</t>
    <phoneticPr fontId="2" type="noConversion"/>
  </si>
  <si>
    <t>MXN</t>
  </si>
  <si>
    <t>MXN</t>
    <phoneticPr fontId="2" type="noConversion"/>
  </si>
  <si>
    <t>country</t>
    <phoneticPr fontId="2" type="noConversion"/>
  </si>
  <si>
    <t xml:space="preserve">Symbol </t>
    <phoneticPr fontId="2" type="noConversion"/>
  </si>
  <si>
    <t xml:space="preserve">Exchange Rate </t>
    <phoneticPr fontId="2" type="noConversion"/>
  </si>
  <si>
    <t>Canada</t>
  </si>
  <si>
    <t>Canada</t>
    <phoneticPr fontId="2" type="noConversion"/>
  </si>
  <si>
    <t>eurozone</t>
  </si>
  <si>
    <t>eurozone</t>
    <phoneticPr fontId="2" type="noConversion"/>
  </si>
  <si>
    <t xml:space="preserve">Japan </t>
  </si>
  <si>
    <t xml:space="preserve">Japan </t>
    <phoneticPr fontId="2" type="noConversion"/>
  </si>
  <si>
    <t>Mexico</t>
  </si>
  <si>
    <t>Mexico</t>
    <phoneticPr fontId="2" type="noConversion"/>
  </si>
  <si>
    <t>AL</t>
  </si>
  <si>
    <t>Alaska</t>
  </si>
  <si>
    <t>AK</t>
  </si>
  <si>
    <t>Arizona</t>
  </si>
  <si>
    <t>AZ</t>
  </si>
  <si>
    <t>Arkansas</t>
  </si>
  <si>
    <t>AR</t>
  </si>
  <si>
    <t>California</t>
  </si>
  <si>
    <t>CA</t>
  </si>
  <si>
    <t>Colorado</t>
  </si>
  <si>
    <t>CO</t>
  </si>
  <si>
    <t>Connecticut</t>
  </si>
  <si>
    <t>CT</t>
  </si>
  <si>
    <t>Delaware</t>
  </si>
  <si>
    <t>DE</t>
  </si>
  <si>
    <t>Florida</t>
  </si>
  <si>
    <t>FL</t>
  </si>
  <si>
    <t>Georgia</t>
  </si>
  <si>
    <t>GA</t>
  </si>
  <si>
    <t>Hawaii</t>
  </si>
  <si>
    <t>HI</t>
  </si>
  <si>
    <t>Idaho</t>
  </si>
  <si>
    <t>ID</t>
  </si>
  <si>
    <t>Illinois</t>
  </si>
  <si>
    <t>IL</t>
  </si>
  <si>
    <t>Indiana</t>
  </si>
  <si>
    <t>IN</t>
  </si>
  <si>
    <t>Iowa</t>
  </si>
  <si>
    <t>IA</t>
  </si>
  <si>
    <t>Alabama</t>
    <phoneticPr fontId="2" type="noConversion"/>
  </si>
  <si>
    <t>Date</t>
    <phoneticPr fontId="2" type="noConversion"/>
  </si>
  <si>
    <t>Name</t>
  </si>
  <si>
    <t>Name</t>
    <phoneticPr fontId="2" type="noConversion"/>
  </si>
  <si>
    <t>Bob</t>
    <phoneticPr fontId="2" type="noConversion"/>
  </si>
  <si>
    <t>ed</t>
    <phoneticPr fontId="2" type="noConversion"/>
  </si>
  <si>
    <t>dan</t>
    <phoneticPr fontId="2" type="noConversion"/>
  </si>
  <si>
    <t>George</t>
    <phoneticPr fontId="2" type="noConversion"/>
  </si>
  <si>
    <t>Mary</t>
    <phoneticPr fontId="2" type="noConversion"/>
  </si>
  <si>
    <t>Ann</t>
    <phoneticPr fontId="2" type="noConversion"/>
  </si>
  <si>
    <t>Mark</t>
    <phoneticPr fontId="2" type="noConversion"/>
  </si>
  <si>
    <t>basketball</t>
    <phoneticPr fontId="2" type="noConversion"/>
  </si>
  <si>
    <t>football</t>
    <phoneticPr fontId="2" type="noConversion"/>
  </si>
  <si>
    <t>baseball</t>
    <phoneticPr fontId="2" type="noConversion"/>
  </si>
  <si>
    <t>tennisball</t>
    <phoneticPr fontId="2" type="noConversion"/>
  </si>
  <si>
    <t>shirt</t>
    <phoneticPr fontId="2" type="noConversion"/>
  </si>
  <si>
    <t xml:space="preserve">glasses </t>
    <phoneticPr fontId="2" type="noConversion"/>
  </si>
  <si>
    <t>gum</t>
    <phoneticPr fontId="2" type="noConversion"/>
  </si>
  <si>
    <t>pants</t>
    <phoneticPr fontId="2" type="noConversion"/>
  </si>
  <si>
    <t>Grand Total</t>
  </si>
  <si>
    <t>(Multiple Items)</t>
  </si>
  <si>
    <t>Joan</t>
    <phoneticPr fontId="2" type="noConversion"/>
  </si>
  <si>
    <t xml:space="preserve">tee shirt </t>
    <phoneticPr fontId="2" type="noConversion"/>
  </si>
  <si>
    <t>Tom</t>
    <phoneticPr fontId="2" type="noConversion"/>
  </si>
  <si>
    <t>ball</t>
    <phoneticPr fontId="2" type="noConversion"/>
  </si>
  <si>
    <t>price</t>
    <phoneticPr fontId="2" type="noConversion"/>
  </si>
  <si>
    <t>product</t>
  </si>
  <si>
    <t>product</t>
    <phoneticPr fontId="2" type="noConversion"/>
  </si>
  <si>
    <t>basketball</t>
  </si>
  <si>
    <t>Sum of price</t>
  </si>
  <si>
    <t>2013/1/1 Total</t>
  </si>
  <si>
    <t>Values</t>
  </si>
  <si>
    <t>Sum of Commission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</si>
</sst>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¥&quot;#,##0.00;&quot;¥&quot;\-#,##0.00"/>
    <numFmt numFmtId="176" formatCode="0.00_ "/>
  </numFmts>
  <fonts count="4" x14ac:knownFonts="1">
    <font>
      <sz val="11"/>
      <color theme="1"/>
      <name val="等线"/>
      <family val="2"/>
      <scheme val="minor"/>
    </font>
    <font>
      <sz val="9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4" fontId="3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7" fontId="0" fillId="0" borderId="0" xfId="0" applyNumberFormat="1"/>
    <xf numFmtId="0" fontId="0" fillId="0" borderId="0" xfId="0" applyFill="1"/>
    <xf numFmtId="176" fontId="0" fillId="0" borderId="0" xfId="0" applyNumberFormat="1"/>
    <xf numFmtId="0" fontId="0" fillId="3" borderId="0" xfId="0" applyFill="1"/>
    <xf numFmtId="0" fontId="0" fillId="0" borderId="0" xfId="0" pivotButton="1"/>
    <xf numFmtId="4" fontId="0" fillId="0" borderId="0" xfId="0" applyNumberFormat="1"/>
  </cellXfs>
  <cellStyles count="1">
    <cellStyle name="Normal" xfId="0" builtinId="0"/>
  </cellStyles>
  <dxfs count="1">
    <dxf>
      <numFmt numFmtId="4" formatCode="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tor" refreshedDate="43071.874708333336" createdVersion="3" refreshedVersion="6" minRefreshableVersion="3" recordCount="10" xr:uid="{9CCF5BBA-6879-4BCD-9F31-1BE2EAC9B3AE}">
  <cacheSource type="worksheet">
    <worksheetSource ref="A1:D11" sheet="pivotTable"/>
  </cacheSource>
  <cacheFields count="5">
    <cacheField name="Date" numFmtId="14">
      <sharedItems containsSemiMixedTypes="0" containsNonDate="0" containsDate="1" containsString="0" minDate="2013-01-01T00:00:00" maxDate="2013-01-07T00:00:00" count="6">
        <d v="2013-01-01T00:00:00"/>
        <d v="2013-01-02T00:00:00"/>
        <d v="2013-01-03T00:00:00"/>
        <d v="2013-01-04T00:00:00"/>
        <d v="2013-01-05T00:00:00"/>
        <d v="2013-01-06T00:00:00"/>
      </sharedItems>
    </cacheField>
    <cacheField name="Name" numFmtId="0">
      <sharedItems count="9">
        <s v="Bob"/>
        <s v="ed"/>
        <s v="dan"/>
        <s v="George"/>
        <s v="Mary"/>
        <s v="Ann"/>
        <s v="Mark"/>
        <s v="Joan"/>
        <s v="Tom"/>
      </sharedItems>
    </cacheField>
    <cacheField name="product" numFmtId="0">
      <sharedItems count="10">
        <s v="basketball"/>
        <s v="football"/>
        <s v="baseball"/>
        <s v="tennisball"/>
        <s v="shirt"/>
        <s v="glasses "/>
        <s v="gum"/>
        <s v="pants"/>
        <s v="tee shirt "/>
        <s v="ball"/>
      </sharedItems>
    </cacheField>
    <cacheField name="price" numFmtId="0">
      <sharedItems containsSemiMixedTypes="0" containsString="0" containsNumber="1" containsInteger="1" minValue="1" maxValue="50"/>
    </cacheField>
    <cacheField name="Commission" numFmtId="0" formula="price*0.1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x v="0"/>
    <x v="0"/>
    <n v="20"/>
  </r>
  <r>
    <x v="0"/>
    <x v="0"/>
    <x v="1"/>
    <n v="15"/>
  </r>
  <r>
    <x v="0"/>
    <x v="1"/>
    <x v="2"/>
    <n v="5"/>
  </r>
  <r>
    <x v="0"/>
    <x v="2"/>
    <x v="3"/>
    <n v="1"/>
  </r>
  <r>
    <x v="1"/>
    <x v="3"/>
    <x v="4"/>
    <n v="11"/>
  </r>
  <r>
    <x v="2"/>
    <x v="4"/>
    <x v="5"/>
    <n v="13"/>
  </r>
  <r>
    <x v="3"/>
    <x v="5"/>
    <x v="6"/>
    <n v="16"/>
  </r>
  <r>
    <x v="4"/>
    <x v="6"/>
    <x v="7"/>
    <n v="14"/>
  </r>
  <r>
    <x v="4"/>
    <x v="7"/>
    <x v="8"/>
    <n v="43"/>
  </r>
  <r>
    <x v="5"/>
    <x v="8"/>
    <x v="9"/>
    <n v="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4A6B7A-C47B-49E0-BC0B-67171E927E04}" name="MyPT" cacheId="103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compact="0" compactData="0" multipleFieldFilters="0">
  <location ref="K3:N7" firstHeaderRow="1" firstDataRow="2" firstDataCol="2" rowPageCount="1" colPageCount="1"/>
  <pivotFields count="5">
    <pivotField axis="axisRow" compact="0" numFmtId="14" outline="0" showAll="0">
      <items count="7">
        <item x="0"/>
        <item x="1"/>
        <item x="2"/>
        <item x="3"/>
        <item x="4"/>
        <item x="5"/>
        <item t="default"/>
      </items>
    </pivotField>
    <pivotField axis="axisPage" compact="0" outline="0" showAll="0">
      <items count="10">
        <item x="5"/>
        <item x="0"/>
        <item h="1" x="2"/>
        <item h="1" x="1"/>
        <item h="1" x="3"/>
        <item h="1" x="7"/>
        <item h="1" x="6"/>
        <item h="1" x="4"/>
        <item h="1" x="8"/>
        <item t="default"/>
      </items>
    </pivotField>
    <pivotField axis="axisRow" compact="0" outline="0" showAll="0">
      <items count="11">
        <item h="1" x="9"/>
        <item h="1" x="2"/>
        <item x="0"/>
        <item h="1" x="1"/>
        <item h="1" x="5"/>
        <item h="1" x="6"/>
        <item h="1" x="7"/>
        <item h="1" x="4"/>
        <item h="1" x="8"/>
        <item h="1" x="3"/>
        <item t="default"/>
      </items>
    </pivotField>
    <pivotField dataField="1" compact="0" outline="0" showAll="0"/>
    <pivotField dataField="1" compact="0" outline="0" dragToRow="0" dragToCol="0" dragToPage="0" showAll="0"/>
  </pivotFields>
  <rowFields count="2">
    <field x="0"/>
    <field x="2"/>
  </rowFields>
  <rowItems count="3">
    <i>
      <x/>
      <x v="2"/>
    </i>
    <i t="default"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Sum of price" fld="3" baseField="0" baseItem="0" numFmtId="4"/>
    <dataField name="Sum of Commission" fld="4" baseField="0" baseItem="0" numFmtId="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7"/>
  <sheetViews>
    <sheetView topLeftCell="A5" workbookViewId="0">
      <selection activeCell="A5" sqref="A5:B7"/>
    </sheetView>
  </sheetViews>
  <sheetFormatPr defaultColWidth="8.875" defaultRowHeight="14.25" x14ac:dyDescent="0.2"/>
  <cols>
    <col min="1" max="1" width="11.125" bestFit="1" customWidth="1"/>
  </cols>
  <sheetData>
    <row r="1" spans="1:2" x14ac:dyDescent="0.2">
      <c r="A1">
        <f>return1()</f>
        <v>1</v>
      </c>
    </row>
    <row r="2" spans="1:2" x14ac:dyDescent="0.2">
      <c r="A2">
        <f>ConvertToCelsius(100)</f>
        <v>37.777777777777779</v>
      </c>
    </row>
    <row r="5" spans="1:2" x14ac:dyDescent="0.2">
      <c r="A5" t="s">
        <v>1</v>
      </c>
      <c r="B5" t="s">
        <v>3</v>
      </c>
    </row>
    <row r="6" spans="1:2" x14ac:dyDescent="0.2">
      <c r="A6" s="1">
        <v>43063</v>
      </c>
      <c r="B6">
        <v>23</v>
      </c>
    </row>
    <row r="7" spans="1:2" x14ac:dyDescent="0.2">
      <c r="A7" s="1">
        <v>43063</v>
      </c>
      <c r="B7">
        <v>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4"/>
  <sheetViews>
    <sheetView workbookViewId="0">
      <selection activeCell="D18" sqref="D18"/>
    </sheetView>
  </sheetViews>
  <sheetFormatPr defaultColWidth="9" defaultRowHeight="14.25" x14ac:dyDescent="0.2"/>
  <cols>
    <col min="1" max="1" width="11.125" style="2" bestFit="1" customWidth="1"/>
    <col min="2" max="16384" width="9" style="3"/>
  </cols>
  <sheetData>
    <row r="1" spans="1:2" x14ac:dyDescent="0.2">
      <c r="B1" s="3">
        <f>SUM(B3:B700)</f>
        <v>68</v>
      </c>
    </row>
    <row r="2" spans="1:2" x14ac:dyDescent="0.2">
      <c r="A2" s="4" t="s">
        <v>0</v>
      </c>
      <c r="B2" s="5" t="s">
        <v>2</v>
      </c>
    </row>
    <row r="3" spans="1:2" x14ac:dyDescent="0.2">
      <c r="A3" s="2">
        <v>43063</v>
      </c>
      <c r="B3" s="3">
        <v>23</v>
      </c>
    </row>
    <row r="4" spans="1:2" x14ac:dyDescent="0.2">
      <c r="A4" s="2">
        <v>43063</v>
      </c>
      <c r="B4" s="3">
        <v>45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G7"/>
  <sheetViews>
    <sheetView topLeftCell="C1" workbookViewId="0">
      <selection activeCell="E16" sqref="E16"/>
    </sheetView>
  </sheetViews>
  <sheetFormatPr defaultRowHeight="14.25" x14ac:dyDescent="0.2"/>
  <cols>
    <col min="2" max="2" width="11.375" style="6" bestFit="1" customWidth="1"/>
    <col min="3" max="3" width="12.125" bestFit="1" customWidth="1"/>
    <col min="4" max="4" width="14.375" bestFit="1" customWidth="1"/>
    <col min="5" max="5" width="18.75" bestFit="1" customWidth="1"/>
    <col min="6" max="6" width="15.375" bestFit="1" customWidth="1"/>
  </cols>
  <sheetData>
    <row r="2" spans="1:7" x14ac:dyDescent="0.2">
      <c r="A2" t="s">
        <v>4</v>
      </c>
      <c r="B2" s="6" t="s">
        <v>7</v>
      </c>
      <c r="C2" t="s">
        <v>8</v>
      </c>
      <c r="D2" t="s">
        <v>9</v>
      </c>
      <c r="E2" t="s">
        <v>10</v>
      </c>
      <c r="F2" t="s">
        <v>11</v>
      </c>
      <c r="G2" t="s">
        <v>12</v>
      </c>
    </row>
    <row r="3" spans="1:7" x14ac:dyDescent="0.2">
      <c r="A3" t="s">
        <v>5</v>
      </c>
      <c r="B3" s="6">
        <v>3000</v>
      </c>
      <c r="C3">
        <f>getTaxRate(B3)</f>
        <v>0</v>
      </c>
      <c r="D3">
        <f>getTaxRateElse(B3)</f>
        <v>0.1</v>
      </c>
      <c r="E3">
        <f>getTaxRateElseAND(B3)</f>
        <v>0.1</v>
      </c>
      <c r="F3">
        <f>getTaxRateElseIf(B3)</f>
        <v>0.1</v>
      </c>
      <c r="G3">
        <f>getTaxRateNestedIf(B3,A3)</f>
        <v>0</v>
      </c>
    </row>
    <row r="4" spans="1:7" x14ac:dyDescent="0.2">
      <c r="A4" t="s">
        <v>6</v>
      </c>
      <c r="B4" s="6">
        <v>35000</v>
      </c>
      <c r="C4">
        <f t="shared" ref="C4:C7" si="0">getTaxRate(B4)</f>
        <v>0.25</v>
      </c>
      <c r="D4">
        <f t="shared" ref="D4:D7" si="1">getTaxRateElse(B4)</f>
        <v>0.25</v>
      </c>
      <c r="E4">
        <f t="shared" ref="E4:E7" si="2">getTaxRateElseAND(B4)</f>
        <v>0.25</v>
      </c>
      <c r="F4">
        <f t="shared" ref="F4:F7" si="3">getTaxRateElseIf(B4)</f>
        <v>0.25</v>
      </c>
      <c r="G4">
        <f t="shared" ref="G4:G7" si="4">getTaxRateNestedIf(B4,A4)</f>
        <v>0.25</v>
      </c>
    </row>
    <row r="5" spans="1:7" x14ac:dyDescent="0.2">
      <c r="A5" t="s">
        <v>5</v>
      </c>
      <c r="B5" s="6">
        <v>6000</v>
      </c>
      <c r="C5">
        <f t="shared" si="0"/>
        <v>0.25</v>
      </c>
      <c r="D5">
        <f t="shared" si="1"/>
        <v>0.25</v>
      </c>
      <c r="E5">
        <f t="shared" si="2"/>
        <v>0.25</v>
      </c>
      <c r="F5">
        <f t="shared" si="3"/>
        <v>0.25</v>
      </c>
      <c r="G5">
        <f t="shared" si="4"/>
        <v>0.15</v>
      </c>
    </row>
    <row r="6" spans="1:7" x14ac:dyDescent="0.2">
      <c r="A6" t="s">
        <v>6</v>
      </c>
      <c r="B6" s="6">
        <v>100000</v>
      </c>
      <c r="C6">
        <f t="shared" si="0"/>
        <v>0.25</v>
      </c>
      <c r="D6">
        <f t="shared" si="1"/>
        <v>0.25</v>
      </c>
      <c r="E6">
        <f t="shared" si="2"/>
        <v>0.1</v>
      </c>
      <c r="F6">
        <f t="shared" si="3"/>
        <v>0.45</v>
      </c>
      <c r="G6">
        <f t="shared" si="4"/>
        <v>0.45</v>
      </c>
    </row>
    <row r="7" spans="1:7" x14ac:dyDescent="0.2">
      <c r="A7" t="s">
        <v>5</v>
      </c>
      <c r="B7" s="6">
        <v>50000</v>
      </c>
      <c r="C7">
        <f t="shared" si="0"/>
        <v>0.25</v>
      </c>
      <c r="D7">
        <f t="shared" si="1"/>
        <v>0.25</v>
      </c>
      <c r="E7">
        <f t="shared" si="2"/>
        <v>0.1</v>
      </c>
      <c r="F7">
        <f t="shared" si="3"/>
        <v>0.35</v>
      </c>
      <c r="G7">
        <f t="shared" si="4"/>
        <v>0.28000000000000003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F7"/>
  <sheetViews>
    <sheetView topLeftCell="D1" workbookViewId="0">
      <selection activeCell="H13" sqref="H13"/>
    </sheetView>
  </sheetViews>
  <sheetFormatPr defaultRowHeight="14.25" x14ac:dyDescent="0.2"/>
  <cols>
    <col min="2" max="2" width="11.375" style="6" bestFit="1" customWidth="1"/>
    <col min="3" max="3" width="12.125" bestFit="1" customWidth="1"/>
    <col min="4" max="4" width="14.375" bestFit="1" customWidth="1"/>
    <col min="5" max="5" width="18.75" bestFit="1" customWidth="1"/>
    <col min="6" max="6" width="15.375" bestFit="1" customWidth="1"/>
  </cols>
  <sheetData>
    <row r="2" spans="1:6" x14ac:dyDescent="0.2">
      <c r="A2" t="s">
        <v>4</v>
      </c>
      <c r="B2" s="6" t="s">
        <v>7</v>
      </c>
      <c r="C2" t="s">
        <v>13</v>
      </c>
      <c r="D2" t="s">
        <v>14</v>
      </c>
      <c r="E2" t="s">
        <v>15</v>
      </c>
      <c r="F2" t="s">
        <v>11</v>
      </c>
    </row>
    <row r="3" spans="1:6" x14ac:dyDescent="0.2">
      <c r="A3" t="s">
        <v>5</v>
      </c>
      <c r="B3" s="6">
        <v>3000</v>
      </c>
      <c r="C3">
        <f>getTaxRateSelectCase(B3)</f>
        <v>0</v>
      </c>
      <c r="D3">
        <f>getTaxRateSelectCaseTo(B3)</f>
        <v>0.1</v>
      </c>
      <c r="E3">
        <f>getTaxRateSelectCaseNested(B3,A3)</f>
        <v>0</v>
      </c>
      <c r="F3">
        <f>getTaxRateElseIf(B3)</f>
        <v>0.1</v>
      </c>
    </row>
    <row r="4" spans="1:6" x14ac:dyDescent="0.2">
      <c r="A4" t="s">
        <v>6</v>
      </c>
      <c r="B4" s="6">
        <v>35000</v>
      </c>
      <c r="C4">
        <f t="shared" ref="C4:C7" si="0">getTaxRateSelectCase(B4)</f>
        <v>0.25</v>
      </c>
      <c r="D4">
        <f t="shared" ref="D4:D7" si="1">getTaxRateSelectCaseTo(B4)</f>
        <v>0.25</v>
      </c>
      <c r="E4">
        <f t="shared" ref="E4:E7" si="2">getTaxRateSelectCaseNested(B4,A4)</f>
        <v>0.25</v>
      </c>
      <c r="F4">
        <f t="shared" ref="F4:F7" si="3">getTaxRateElseIf(B4)</f>
        <v>0.25</v>
      </c>
    </row>
    <row r="5" spans="1:6" x14ac:dyDescent="0.2">
      <c r="A5" t="s">
        <v>5</v>
      </c>
      <c r="B5" s="6">
        <v>6000</v>
      </c>
      <c r="C5">
        <f t="shared" si="0"/>
        <v>0.25</v>
      </c>
      <c r="D5">
        <f t="shared" si="1"/>
        <v>0.25</v>
      </c>
      <c r="E5">
        <f t="shared" si="2"/>
        <v>0.15</v>
      </c>
      <c r="F5">
        <f t="shared" si="3"/>
        <v>0.25</v>
      </c>
    </row>
    <row r="6" spans="1:6" x14ac:dyDescent="0.2">
      <c r="A6" t="s">
        <v>6</v>
      </c>
      <c r="B6" s="6">
        <v>100000</v>
      </c>
      <c r="C6">
        <f t="shared" si="0"/>
        <v>0.25</v>
      </c>
      <c r="D6">
        <f t="shared" si="1"/>
        <v>0.1</v>
      </c>
      <c r="E6">
        <f t="shared" si="2"/>
        <v>0.45</v>
      </c>
      <c r="F6">
        <f t="shared" si="3"/>
        <v>0.45</v>
      </c>
    </row>
    <row r="7" spans="1:6" x14ac:dyDescent="0.2">
      <c r="A7" t="s">
        <v>5</v>
      </c>
      <c r="B7" s="6">
        <v>50000</v>
      </c>
      <c r="C7">
        <f t="shared" si="0"/>
        <v>0.25</v>
      </c>
      <c r="D7">
        <f t="shared" si="1"/>
        <v>0.1</v>
      </c>
      <c r="E7">
        <f t="shared" si="2"/>
        <v>0.28000000000000003</v>
      </c>
      <c r="F7">
        <f t="shared" si="3"/>
        <v>0.35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6"/>
  <sheetViews>
    <sheetView workbookViewId="0">
      <selection activeCell="A6" sqref="A6"/>
    </sheetView>
  </sheetViews>
  <sheetFormatPr defaultRowHeight="14.25" x14ac:dyDescent="0.2"/>
  <sheetData>
    <row r="1" spans="1:1" x14ac:dyDescent="0.2">
      <c r="A1">
        <v>10</v>
      </c>
    </row>
    <row r="2" spans="1:1" x14ac:dyDescent="0.2">
      <c r="A2">
        <v>123</v>
      </c>
    </row>
    <row r="3" spans="1:1" x14ac:dyDescent="0.2">
      <c r="A3">
        <v>123</v>
      </c>
    </row>
    <row r="4" spans="1:1" x14ac:dyDescent="0.2">
      <c r="A4">
        <v>1</v>
      </c>
    </row>
    <row r="5" spans="1:1" x14ac:dyDescent="0.2">
      <c r="A5">
        <v>3</v>
      </c>
    </row>
    <row r="6" spans="1:1" x14ac:dyDescent="0.2">
      <c r="A6">
        <v>123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A20"/>
  <sheetViews>
    <sheetView workbookViewId="0"/>
  </sheetViews>
  <sheetFormatPr defaultRowHeight="14.25" x14ac:dyDescent="0.2"/>
  <sheetData>
    <row r="2" spans="1:1" x14ac:dyDescent="0.2">
      <c r="A2">
        <v>2</v>
      </c>
    </row>
    <row r="4" spans="1:1" x14ac:dyDescent="0.2">
      <c r="A4">
        <v>4</v>
      </c>
    </row>
    <row r="6" spans="1:1" x14ac:dyDescent="0.2">
      <c r="A6">
        <v>6</v>
      </c>
    </row>
    <row r="8" spans="1:1" x14ac:dyDescent="0.2">
      <c r="A8">
        <v>8</v>
      </c>
    </row>
    <row r="10" spans="1:1" x14ac:dyDescent="0.2">
      <c r="A10">
        <v>10</v>
      </c>
    </row>
    <row r="12" spans="1:1" x14ac:dyDescent="0.2">
      <c r="A12">
        <v>12</v>
      </c>
    </row>
    <row r="14" spans="1:1" x14ac:dyDescent="0.2">
      <c r="A14">
        <v>14</v>
      </c>
    </row>
    <row r="16" spans="1:1" x14ac:dyDescent="0.2">
      <c r="A16">
        <v>16</v>
      </c>
    </row>
    <row r="18" spans="1:1" x14ac:dyDescent="0.2">
      <c r="A18">
        <v>18</v>
      </c>
    </row>
    <row r="20" spans="1:1" x14ac:dyDescent="0.2">
      <c r="A20">
        <v>20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19"/>
  <sheetViews>
    <sheetView workbookViewId="0">
      <selection activeCell="E19" sqref="E19"/>
    </sheetView>
  </sheetViews>
  <sheetFormatPr defaultRowHeight="14.25" x14ac:dyDescent="0.2"/>
  <cols>
    <col min="1" max="16384" width="9" style="7"/>
  </cols>
  <sheetData>
    <row r="1" spans="1:5" x14ac:dyDescent="0.2">
      <c r="A1" s="7" t="s">
        <v>31</v>
      </c>
      <c r="E1" s="9"/>
    </row>
    <row r="2" spans="1:5" x14ac:dyDescent="0.2">
      <c r="A2" s="7" t="s">
        <v>32</v>
      </c>
      <c r="C2" s="7">
        <v>234</v>
      </c>
      <c r="E2" s="9"/>
    </row>
    <row r="3" spans="1:5" x14ac:dyDescent="0.2">
      <c r="A3" s="7" t="s">
        <v>33</v>
      </c>
      <c r="E3" s="9"/>
    </row>
    <row r="4" spans="1:5" x14ac:dyDescent="0.2">
      <c r="B4" s="7">
        <v>2134</v>
      </c>
      <c r="C4" s="7">
        <v>214</v>
      </c>
      <c r="E4" s="9"/>
    </row>
    <row r="5" spans="1:5" x14ac:dyDescent="0.2">
      <c r="A5" s="7">
        <v>134</v>
      </c>
      <c r="E5" s="9"/>
    </row>
    <row r="6" spans="1:5" x14ac:dyDescent="0.2">
      <c r="B6" s="7">
        <v>1324</v>
      </c>
      <c r="C6" s="7">
        <v>1231</v>
      </c>
      <c r="E6" s="9"/>
    </row>
    <row r="7" spans="1:5" x14ac:dyDescent="0.2">
      <c r="E7" s="9"/>
    </row>
    <row r="8" spans="1:5" x14ac:dyDescent="0.2">
      <c r="A8" s="7" t="s">
        <v>16</v>
      </c>
      <c r="B8" s="7" t="s">
        <v>17</v>
      </c>
      <c r="C8" s="7" t="s">
        <v>18</v>
      </c>
      <c r="E8" s="9"/>
    </row>
    <row r="9" spans="1:5" x14ac:dyDescent="0.2">
      <c r="A9" s="7" t="s">
        <v>19</v>
      </c>
      <c r="B9" s="7" t="s">
        <v>20</v>
      </c>
      <c r="C9" s="7" t="s">
        <v>21</v>
      </c>
      <c r="E9" s="9"/>
    </row>
    <row r="10" spans="1:5" x14ac:dyDescent="0.2">
      <c r="A10" s="7" t="s">
        <v>22</v>
      </c>
      <c r="B10" s="7" t="s">
        <v>23</v>
      </c>
      <c r="C10" s="7" t="s">
        <v>24</v>
      </c>
      <c r="E10" s="9"/>
    </row>
    <row r="11" spans="1:5" x14ac:dyDescent="0.2">
      <c r="A11" s="7" t="s">
        <v>25</v>
      </c>
      <c r="B11" s="7" t="s">
        <v>26</v>
      </c>
      <c r="C11" s="7" t="s">
        <v>27</v>
      </c>
      <c r="E11" s="9"/>
    </row>
    <row r="12" spans="1:5" x14ac:dyDescent="0.2">
      <c r="A12" s="7" t="s">
        <v>28</v>
      </c>
      <c r="B12" s="7" t="s">
        <v>29</v>
      </c>
      <c r="C12" s="7" t="s">
        <v>30</v>
      </c>
      <c r="E12" s="9"/>
    </row>
    <row r="13" spans="1:5" x14ac:dyDescent="0.2">
      <c r="E13" s="9"/>
    </row>
    <row r="14" spans="1:5" x14ac:dyDescent="0.2">
      <c r="E14" s="9"/>
    </row>
    <row r="15" spans="1:5" x14ac:dyDescent="0.2">
      <c r="E15" s="9"/>
    </row>
    <row r="16" spans="1:5" x14ac:dyDescent="0.2">
      <c r="E16" s="9"/>
    </row>
    <row r="17" spans="1:5" x14ac:dyDescent="0.2">
      <c r="E17" s="9"/>
    </row>
    <row r="18" spans="1:5" x14ac:dyDescent="0.2">
      <c r="E18" s="9"/>
    </row>
    <row r="19" spans="1:5" x14ac:dyDescent="0.2">
      <c r="A19" s="9"/>
      <c r="B19" s="9"/>
      <c r="C19" s="9"/>
      <c r="D19" s="9"/>
      <c r="E19" s="9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33"/>
  <sheetViews>
    <sheetView workbookViewId="0">
      <selection activeCell="F21" sqref="F21"/>
    </sheetView>
  </sheetViews>
  <sheetFormatPr defaultRowHeight="14.25" x14ac:dyDescent="0.2"/>
  <cols>
    <col min="3" max="3" width="11.375" bestFit="1" customWidth="1"/>
    <col min="7" max="7" width="12.75" customWidth="1"/>
  </cols>
  <sheetData>
    <row r="1" spans="1:12" x14ac:dyDescent="0.2">
      <c r="A1" t="s">
        <v>36</v>
      </c>
      <c r="B1" t="s">
        <v>48</v>
      </c>
      <c r="C1" s="8">
        <v>100.1</v>
      </c>
      <c r="D1">
        <f>ConvertToUsd(B1,C1)</f>
        <v>105.105</v>
      </c>
    </row>
    <row r="2" spans="1:12" x14ac:dyDescent="0.2">
      <c r="A2" t="s">
        <v>37</v>
      </c>
      <c r="B2" t="s">
        <v>48</v>
      </c>
      <c r="C2" s="8">
        <v>100.1</v>
      </c>
      <c r="D2">
        <f t="shared" ref="D2:D6" si="0">ConvertToUsd(B2,C2)</f>
        <v>105.105</v>
      </c>
    </row>
    <row r="3" spans="1:12" x14ac:dyDescent="0.2">
      <c r="A3" t="s">
        <v>38</v>
      </c>
      <c r="B3" t="s">
        <v>48</v>
      </c>
      <c r="C3" s="8">
        <v>100.1</v>
      </c>
      <c r="D3">
        <f t="shared" si="0"/>
        <v>105.105</v>
      </c>
    </row>
    <row r="4" spans="1:12" x14ac:dyDescent="0.2">
      <c r="A4" t="s">
        <v>39</v>
      </c>
      <c r="B4" t="s">
        <v>50</v>
      </c>
      <c r="C4" s="8">
        <v>100.1</v>
      </c>
      <c r="D4">
        <f t="shared" si="0"/>
        <v>120.11999999999999</v>
      </c>
    </row>
    <row r="5" spans="1:12" x14ac:dyDescent="0.2">
      <c r="A5" t="s">
        <v>40</v>
      </c>
      <c r="B5" t="s">
        <v>52</v>
      </c>
      <c r="C5" s="8">
        <v>100.1</v>
      </c>
      <c r="D5">
        <f t="shared" si="0"/>
        <v>1.2012</v>
      </c>
    </row>
    <row r="6" spans="1:12" x14ac:dyDescent="0.2">
      <c r="A6" t="s">
        <v>41</v>
      </c>
      <c r="B6" t="s">
        <v>54</v>
      </c>
      <c r="C6" s="8">
        <v>100.1</v>
      </c>
      <c r="D6">
        <f t="shared" si="0"/>
        <v>7.0070000000000006</v>
      </c>
    </row>
    <row r="7" spans="1:12" x14ac:dyDescent="0.2">
      <c r="A7" t="s">
        <v>42</v>
      </c>
    </row>
    <row r="8" spans="1:12" x14ac:dyDescent="0.2">
      <c r="A8" t="s">
        <v>43</v>
      </c>
    </row>
    <row r="9" spans="1:12" x14ac:dyDescent="0.2">
      <c r="A9" t="s">
        <v>44</v>
      </c>
      <c r="E9" t="s">
        <v>55</v>
      </c>
      <c r="F9" t="s">
        <v>56</v>
      </c>
      <c r="G9" t="s">
        <v>57</v>
      </c>
    </row>
    <row r="10" spans="1:12" x14ac:dyDescent="0.2">
      <c r="A10" t="s">
        <v>45</v>
      </c>
      <c r="E10" t="s">
        <v>59</v>
      </c>
      <c r="F10" t="s">
        <v>48</v>
      </c>
      <c r="G10">
        <v>1.05</v>
      </c>
    </row>
    <row r="11" spans="1:12" x14ac:dyDescent="0.2">
      <c r="A11" t="s">
        <v>34</v>
      </c>
      <c r="E11" t="s">
        <v>61</v>
      </c>
      <c r="F11" t="s">
        <v>50</v>
      </c>
      <c r="G11">
        <v>1.29</v>
      </c>
    </row>
    <row r="12" spans="1:12" x14ac:dyDescent="0.2">
      <c r="A12" t="s">
        <v>46</v>
      </c>
      <c r="E12" t="s">
        <v>63</v>
      </c>
      <c r="F12" t="s">
        <v>52</v>
      </c>
      <c r="G12">
        <v>1.2E-2</v>
      </c>
    </row>
    <row r="13" spans="1:12" x14ac:dyDescent="0.2">
      <c r="A13" t="s">
        <v>35</v>
      </c>
      <c r="E13" t="s">
        <v>65</v>
      </c>
      <c r="F13" t="s">
        <v>54</v>
      </c>
      <c r="G13">
        <v>7.0000000000000007E-2</v>
      </c>
    </row>
    <row r="14" spans="1:12" x14ac:dyDescent="0.2">
      <c r="J14" t="s">
        <v>58</v>
      </c>
      <c r="K14" t="s">
        <v>47</v>
      </c>
      <c r="L14">
        <v>1.05</v>
      </c>
    </row>
    <row r="15" spans="1:12" x14ac:dyDescent="0.2">
      <c r="J15" t="s">
        <v>60</v>
      </c>
      <c r="K15" t="s">
        <v>49</v>
      </c>
      <c r="L15">
        <v>1.29</v>
      </c>
    </row>
    <row r="16" spans="1:12" x14ac:dyDescent="0.2">
      <c r="J16" t="s">
        <v>62</v>
      </c>
      <c r="K16" t="s">
        <v>51</v>
      </c>
      <c r="L16">
        <v>1.2E-2</v>
      </c>
    </row>
    <row r="17" spans="4:12" x14ac:dyDescent="0.2">
      <c r="D17" t="s">
        <v>95</v>
      </c>
      <c r="E17" t="s">
        <v>66</v>
      </c>
      <c r="J17" t="s">
        <v>64</v>
      </c>
      <c r="K17" t="s">
        <v>53</v>
      </c>
      <c r="L17">
        <v>7.0000000000000007E-2</v>
      </c>
    </row>
    <row r="18" spans="4:12" x14ac:dyDescent="0.2">
      <c r="D18" t="s">
        <v>67</v>
      </c>
      <c r="E18" t="s">
        <v>68</v>
      </c>
    </row>
    <row r="19" spans="4:12" x14ac:dyDescent="0.2">
      <c r="D19" t="s">
        <v>69</v>
      </c>
      <c r="E19" t="s">
        <v>70</v>
      </c>
    </row>
    <row r="20" spans="4:12" x14ac:dyDescent="0.2">
      <c r="D20" t="s">
        <v>71</v>
      </c>
      <c r="E20" t="s">
        <v>72</v>
      </c>
    </row>
    <row r="21" spans="4:12" x14ac:dyDescent="0.2">
      <c r="D21" t="s">
        <v>73</v>
      </c>
      <c r="E21" t="s">
        <v>74</v>
      </c>
    </row>
    <row r="22" spans="4:12" x14ac:dyDescent="0.2">
      <c r="D22" t="s">
        <v>75</v>
      </c>
      <c r="E22" t="s">
        <v>76</v>
      </c>
    </row>
    <row r="23" spans="4:12" x14ac:dyDescent="0.2">
      <c r="D23" t="s">
        <v>77</v>
      </c>
      <c r="E23" t="s">
        <v>78</v>
      </c>
    </row>
    <row r="24" spans="4:12" x14ac:dyDescent="0.2">
      <c r="D24" t="s">
        <v>79</v>
      </c>
      <c r="E24" t="s">
        <v>80</v>
      </c>
    </row>
    <row r="25" spans="4:12" x14ac:dyDescent="0.2">
      <c r="D25" t="s">
        <v>81</v>
      </c>
      <c r="E25" t="s">
        <v>82</v>
      </c>
    </row>
    <row r="26" spans="4:12" x14ac:dyDescent="0.2">
      <c r="D26" t="s">
        <v>83</v>
      </c>
      <c r="E26" t="s">
        <v>84</v>
      </c>
    </row>
    <row r="27" spans="4:12" x14ac:dyDescent="0.2">
      <c r="D27" t="s">
        <v>85</v>
      </c>
      <c r="E27" t="s">
        <v>86</v>
      </c>
    </row>
    <row r="28" spans="4:12" x14ac:dyDescent="0.2">
      <c r="D28" t="s">
        <v>87</v>
      </c>
      <c r="E28" t="s">
        <v>88</v>
      </c>
    </row>
    <row r="29" spans="4:12" x14ac:dyDescent="0.2">
      <c r="D29" t="s">
        <v>89</v>
      </c>
      <c r="E29" t="s">
        <v>90</v>
      </c>
    </row>
    <row r="30" spans="4:12" x14ac:dyDescent="0.2">
      <c r="D30" t="s">
        <v>91</v>
      </c>
      <c r="E30" t="s">
        <v>92</v>
      </c>
    </row>
    <row r="31" spans="4:12" x14ac:dyDescent="0.2">
      <c r="D31" t="s">
        <v>93</v>
      </c>
      <c r="E31" t="s">
        <v>94</v>
      </c>
    </row>
    <row r="32" spans="4:12" x14ac:dyDescent="0.2">
      <c r="D32" t="s">
        <v>73</v>
      </c>
      <c r="E32" t="s">
        <v>74</v>
      </c>
    </row>
    <row r="33" spans="4:5" x14ac:dyDescent="0.2">
      <c r="D33" t="s">
        <v>73</v>
      </c>
      <c r="E33" t="s">
        <v>74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7CB58-D6E6-4C51-8CE3-E52F94AB059C}">
  <sheetPr codeName="Sheet9"/>
  <dimension ref="A1:N11"/>
  <sheetViews>
    <sheetView tabSelected="1" workbookViewId="0">
      <selection activeCell="F13" sqref="F13"/>
    </sheetView>
  </sheetViews>
  <sheetFormatPr defaultRowHeight="14.25" x14ac:dyDescent="0.2"/>
  <cols>
    <col min="1" max="1" width="9.5" bestFit="1" customWidth="1"/>
    <col min="3" max="3" width="13" bestFit="1" customWidth="1"/>
    <col min="4" max="4" width="6" bestFit="1" customWidth="1"/>
    <col min="5" max="5" width="11.625" bestFit="1" customWidth="1"/>
    <col min="7" max="7" width="13" bestFit="1" customWidth="1"/>
    <col min="8" max="8" width="6.5" bestFit="1" customWidth="1"/>
    <col min="11" max="11" width="13.75" bestFit="1" customWidth="1"/>
    <col min="12" max="12" width="16.375" bestFit="1" customWidth="1"/>
    <col min="13" max="13" width="12.5" bestFit="1" customWidth="1"/>
    <col min="14" max="14" width="19.125" bestFit="1" customWidth="1"/>
  </cols>
  <sheetData>
    <row r="1" spans="1:14" x14ac:dyDescent="0.2">
      <c r="A1" t="s">
        <v>96</v>
      </c>
      <c r="B1" t="s">
        <v>98</v>
      </c>
      <c r="C1" t="s">
        <v>122</v>
      </c>
      <c r="D1" t="s">
        <v>120</v>
      </c>
      <c r="K1" s="10" t="s">
        <v>97</v>
      </c>
      <c r="L1" t="s">
        <v>115</v>
      </c>
    </row>
    <row r="2" spans="1:14" x14ac:dyDescent="0.2">
      <c r="A2" s="1">
        <v>41275</v>
      </c>
      <c r="B2" t="s">
        <v>99</v>
      </c>
      <c r="C2" t="s">
        <v>106</v>
      </c>
      <c r="D2">
        <v>20</v>
      </c>
    </row>
    <row r="3" spans="1:14" x14ac:dyDescent="0.2">
      <c r="A3" s="1">
        <v>41275</v>
      </c>
      <c r="B3" t="s">
        <v>99</v>
      </c>
      <c r="C3" t="s">
        <v>107</v>
      </c>
      <c r="D3">
        <v>15</v>
      </c>
      <c r="M3" s="10" t="s">
        <v>126</v>
      </c>
    </row>
    <row r="4" spans="1:14" x14ac:dyDescent="0.2">
      <c r="A4" s="1">
        <v>41275</v>
      </c>
      <c r="B4" t="s">
        <v>100</v>
      </c>
      <c r="C4" t="s">
        <v>108</v>
      </c>
      <c r="D4">
        <v>5</v>
      </c>
      <c r="K4" s="10" t="s">
        <v>0</v>
      </c>
      <c r="L4" s="10" t="s">
        <v>121</v>
      </c>
      <c r="M4" t="s">
        <v>124</v>
      </c>
      <c r="N4" t="s">
        <v>127</v>
      </c>
    </row>
    <row r="5" spans="1:14" x14ac:dyDescent="0.2">
      <c r="A5" s="1">
        <v>41275</v>
      </c>
      <c r="B5" t="s">
        <v>101</v>
      </c>
      <c r="C5" t="s">
        <v>109</v>
      </c>
      <c r="D5">
        <v>1</v>
      </c>
      <c r="K5" s="1">
        <v>41275</v>
      </c>
      <c r="L5" t="s">
        <v>123</v>
      </c>
      <c r="M5" s="11">
        <v>20</v>
      </c>
      <c r="N5" s="11">
        <v>2</v>
      </c>
    </row>
    <row r="6" spans="1:14" x14ac:dyDescent="0.2">
      <c r="A6" s="1">
        <v>41276</v>
      </c>
      <c r="B6" t="s">
        <v>102</v>
      </c>
      <c r="C6" t="s">
        <v>110</v>
      </c>
      <c r="D6">
        <v>11</v>
      </c>
      <c r="K6" s="1" t="s">
        <v>125</v>
      </c>
      <c r="M6" s="11">
        <v>20</v>
      </c>
      <c r="N6" s="11">
        <v>2</v>
      </c>
    </row>
    <row r="7" spans="1:14" x14ac:dyDescent="0.2">
      <c r="A7" s="1">
        <v>41277</v>
      </c>
      <c r="B7" t="s">
        <v>103</v>
      </c>
      <c r="C7" t="s">
        <v>111</v>
      </c>
      <c r="D7">
        <v>13</v>
      </c>
      <c r="K7" s="1" t="s">
        <v>114</v>
      </c>
      <c r="M7" s="11">
        <v>20</v>
      </c>
      <c r="N7" s="11">
        <v>2</v>
      </c>
    </row>
    <row r="8" spans="1:14" x14ac:dyDescent="0.2">
      <c r="A8" s="1">
        <v>41278</v>
      </c>
      <c r="B8" t="s">
        <v>104</v>
      </c>
      <c r="C8" t="s">
        <v>112</v>
      </c>
      <c r="D8">
        <v>16</v>
      </c>
    </row>
    <row r="9" spans="1:14" x14ac:dyDescent="0.2">
      <c r="A9" s="1">
        <v>41279</v>
      </c>
      <c r="B9" t="s">
        <v>105</v>
      </c>
      <c r="C9" t="s">
        <v>113</v>
      </c>
      <c r="D9">
        <v>14</v>
      </c>
    </row>
    <row r="10" spans="1:14" x14ac:dyDescent="0.2">
      <c r="A10" s="1">
        <v>41279</v>
      </c>
      <c r="B10" t="s">
        <v>116</v>
      </c>
      <c r="C10" t="s">
        <v>117</v>
      </c>
      <c r="D10">
        <v>43</v>
      </c>
    </row>
    <row r="11" spans="1:14" x14ac:dyDescent="0.2">
      <c r="A11" s="1">
        <v>41280</v>
      </c>
      <c r="B11" t="s">
        <v>118</v>
      </c>
      <c r="C11" t="s">
        <v>119</v>
      </c>
      <c r="D11">
        <v>50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Sheet2</vt:lpstr>
      <vt:lpstr>Sheet3</vt:lpstr>
      <vt:lpstr>Sheet4</vt:lpstr>
      <vt:lpstr>loops</vt:lpstr>
      <vt:lpstr>Next</vt:lpstr>
      <vt:lpstr>foreach</vt:lpstr>
      <vt:lpstr>Sheet7</vt:lpstr>
      <vt:lpstr>pivotTable</vt:lpstr>
    </vt:vector>
  </TitlesOfParts>
  <Company>University of Tasmania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Chaofan Zheng</dc:creator>
  <cp:lastModifiedBy>Administrator</cp:lastModifiedBy>
  <dcterms:created xsi:type="dcterms:W3CDTF">2017-11-14T22:35:15Z</dcterms:created>
  <dcterms:modified xsi:type="dcterms:W3CDTF">2017-12-02T10:01:37Z</dcterms:modified>
</cp:coreProperties>
</file>